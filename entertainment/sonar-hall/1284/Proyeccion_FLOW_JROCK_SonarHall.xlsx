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_Sensibilidad_Aforos" sheetId="1" state="visible" r:id="rId1"/>
    <sheet name="Estructura_del_De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i val="1"/>
    </font>
  </fonts>
  <fills count="4">
    <fill>
      <patternFill/>
    </fill>
    <fill>
      <patternFill patternType="gray125"/>
    </fill>
    <fill>
      <patternFill patternType="solid">
        <fgColor rgb="004F81BD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2" fillId="3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PROYECCIÓN FINANCIERA: FLOW (J-ROCK)</t>
        </is>
      </c>
    </row>
    <row r="3">
      <c r="A3" s="2" t="inlineStr">
        <is>
          <t>PARÁMETROS BASE</t>
        </is>
      </c>
    </row>
    <row r="4">
      <c r="A4" t="inlineStr">
        <is>
          <t>Renta Fija Bruta (Ingreso)</t>
        </is>
      </c>
      <c r="B4" s="3" t="n">
        <v>350000</v>
      </c>
    </row>
    <row r="5">
      <c r="A5" t="inlineStr">
        <is>
          <t>Gastos Fijos Venue (Rider, Seg, Limp)</t>
        </is>
      </c>
      <c r="B5" s="3" t="n">
        <v>200000</v>
      </c>
    </row>
    <row r="6">
      <c r="A6" t="inlineStr">
        <is>
          <t>Comisión Taquilla Sonar</t>
        </is>
      </c>
      <c r="B6" s="4" t="n">
        <v>0.18</v>
      </c>
    </row>
    <row r="7">
      <c r="A7" t="inlineStr">
        <is>
          <t>Ticket Promedio Gral (MXN)</t>
        </is>
      </c>
      <c r="B7" s="3" t="n">
        <v>1200</v>
      </c>
    </row>
    <row r="8">
      <c r="A8" t="inlineStr">
        <is>
          <t>Ticket Promedio VIP (MXN)</t>
        </is>
      </c>
      <c r="B8" s="3" t="n">
        <v>3000</v>
      </c>
    </row>
    <row r="9">
      <c r="A9" t="inlineStr">
        <is>
          <t>Gasto Promedio A&amp;B por PAX (MXN)</t>
        </is>
      </c>
      <c r="B9" s="3" t="n">
        <v>600</v>
      </c>
    </row>
    <row r="10">
      <c r="A10" t="inlineStr">
        <is>
          <t>Margen Utilidad A&amp;B (después de costo)</t>
        </is>
      </c>
      <c r="B10" s="4" t="n">
        <v>0.7</v>
      </c>
    </row>
    <row r="11">
      <c r="A11" t="inlineStr">
        <is>
          <t>Share Sonar sobre Utilidad A&amp;B</t>
        </is>
      </c>
      <c r="B11" s="4" t="n">
        <v>0.9</v>
      </c>
    </row>
    <row r="14">
      <c r="A14" s="5" t="inlineStr">
        <is>
          <t>CONCEPTO</t>
        </is>
      </c>
      <c r="B14" s="5" t="inlineStr">
        <is>
          <t>100% Sold Out</t>
        </is>
      </c>
      <c r="C14" s="5" t="inlineStr">
        <is>
          <t>80% Aforo</t>
        </is>
      </c>
      <c r="D14" s="5" t="inlineStr">
        <is>
          <t>60% Aforo</t>
        </is>
      </c>
      <c r="E14" s="5" t="inlineStr">
        <is>
          <t>40% Aforo</t>
        </is>
      </c>
    </row>
    <row r="15">
      <c r="A15" t="inlineStr">
        <is>
          <t>Aforo Total Máximo</t>
        </is>
      </c>
      <c r="B15" s="6" t="n">
        <v>4000</v>
      </c>
    </row>
    <row r="16">
      <c r="A16" t="inlineStr">
        <is>
          <t>Máximo PAX Gral</t>
        </is>
      </c>
      <c r="B16" s="6" t="n">
        <v>3000</v>
      </c>
    </row>
    <row r="17">
      <c r="A17" t="inlineStr">
        <is>
          <t>Máximo PAX VIP</t>
        </is>
      </c>
      <c r="B17" s="6" t="n">
        <v>1000</v>
      </c>
    </row>
    <row r="19">
      <c r="A19" t="inlineStr">
        <is>
          <t>Tasa de Ocupación</t>
        </is>
      </c>
      <c r="B19" s="4" t="n">
        <v>1</v>
      </c>
      <c r="C19" s="4" t="n">
        <v>0.8</v>
      </c>
      <c r="D19" s="4" t="n">
        <v>0.6</v>
      </c>
      <c r="E19" s="4" t="n">
        <v>0.4</v>
      </c>
    </row>
    <row r="20">
      <c r="A20" t="inlineStr">
        <is>
          <t>PAX General</t>
        </is>
      </c>
      <c r="B20" s="6">
        <f>$B$16*B19</f>
        <v/>
      </c>
      <c r="C20" s="6">
        <f>$B$16*C19</f>
        <v/>
      </c>
      <c r="D20" s="6">
        <f>$B$16*D19</f>
        <v/>
      </c>
      <c r="E20" s="6">
        <f>$B$16*E19</f>
        <v/>
      </c>
    </row>
    <row r="21">
      <c r="A21" t="inlineStr">
        <is>
          <t>PAX VIP</t>
        </is>
      </c>
      <c r="B21" s="6">
        <f>$B$17*B19</f>
        <v/>
      </c>
      <c r="C21" s="6">
        <f>$B$17*C19</f>
        <v/>
      </c>
      <c r="D21" s="6">
        <f>$B$17*D19</f>
        <v/>
      </c>
      <c r="E21" s="6">
        <f>$B$17*E19</f>
        <v/>
      </c>
    </row>
    <row r="22">
      <c r="A22" t="inlineStr">
        <is>
          <t>PAX Total</t>
        </is>
      </c>
      <c r="B22" s="6">
        <f>B20+B21</f>
        <v/>
      </c>
      <c r="C22" s="6">
        <f>C20+C21</f>
        <v/>
      </c>
      <c r="D22" s="6">
        <f>D20+D21</f>
        <v/>
      </c>
      <c r="E22" s="6">
        <f>E20+E21</f>
        <v/>
      </c>
    </row>
    <row r="24">
      <c r="A24" s="2" t="inlineStr">
        <is>
          <t>--- VENTA BRUTA EVENTO ---</t>
        </is>
      </c>
    </row>
    <row r="25">
      <c r="A25" t="inlineStr">
        <is>
          <t>Venta Bruta Taquilla Gral</t>
        </is>
      </c>
      <c r="B25" s="3">
        <f>B20*$B$7</f>
        <v/>
      </c>
      <c r="C25" s="3">
        <f>C20*$B$7</f>
        <v/>
      </c>
      <c r="D25" s="3">
        <f>D20*$B$7</f>
        <v/>
      </c>
      <c r="E25" s="3">
        <f>E20*$B$7</f>
        <v/>
      </c>
    </row>
    <row r="26">
      <c r="A26" t="inlineStr">
        <is>
          <t>Venta Bruta Taquilla VIP</t>
        </is>
      </c>
      <c r="B26" s="3">
        <f>B21*$B$8</f>
        <v/>
      </c>
      <c r="C26" s="3">
        <f>C21*$B$8</f>
        <v/>
      </c>
      <c r="D26" s="3">
        <f>D21*$B$8</f>
        <v/>
      </c>
      <c r="E26" s="3">
        <f>E21*$B$8</f>
        <v/>
      </c>
    </row>
    <row r="27">
      <c r="A27" t="inlineStr">
        <is>
          <t>Venta Bruta A&amp;B (Barras)</t>
        </is>
      </c>
      <c r="B27" s="3">
        <f>B22*$B$9</f>
        <v/>
      </c>
      <c r="C27" s="3">
        <f>C22*$B$9</f>
        <v/>
      </c>
      <c r="D27" s="3">
        <f>D22*$B$9</f>
        <v/>
      </c>
      <c r="E27" s="3">
        <f>E22*$B$9</f>
        <v/>
      </c>
    </row>
    <row r="29">
      <c r="A29" s="2" t="inlineStr">
        <is>
          <t>--- ESTADO DE RESULTADOS SONAR HALL ---</t>
        </is>
      </c>
    </row>
    <row r="30">
      <c r="A30" t="inlineStr">
        <is>
          <t>1. Ingreso Renta Fija</t>
        </is>
      </c>
      <c r="B30" s="3">
        <f>$B$4</f>
        <v/>
      </c>
      <c r="C30" s="3">
        <f>$B$4</f>
        <v/>
      </c>
      <c r="D30" s="3">
        <f>$B$4</f>
        <v/>
      </c>
      <c r="E30" s="3">
        <f>$B$4</f>
        <v/>
      </c>
    </row>
    <row r="31">
      <c r="A31" t="inlineStr">
        <is>
          <t>(-) Gastos Fijos (Rider, Seg, Limpieza)</t>
        </is>
      </c>
      <c r="B31" s="3">
        <f>-$B$5</f>
        <v/>
      </c>
      <c r="C31" s="3">
        <f>-$B$5</f>
        <v/>
      </c>
      <c r="D31" s="3">
        <f>-$B$5</f>
        <v/>
      </c>
      <c r="E31" s="3">
        <f>-$B$5</f>
        <v/>
      </c>
    </row>
    <row r="32">
      <c r="A32" s="7">
        <f> UTILIDAD NETA RENTA</f>
        <v/>
      </c>
      <c r="B32" s="8">
        <f>B30+B31</f>
        <v/>
      </c>
      <c r="C32" s="8">
        <f>C30+C31</f>
        <v/>
      </c>
      <c r="D32" s="8">
        <f>D30+D31</f>
        <v/>
      </c>
      <c r="E32" s="8">
        <f>E30+E31</f>
        <v/>
      </c>
    </row>
    <row r="34">
      <c r="A34" t="inlineStr">
        <is>
          <t>2. Ingreso Taquilla Gral (18%)</t>
        </is>
      </c>
      <c r="B34" s="3">
        <f>B25*$B$6</f>
        <v/>
      </c>
      <c r="C34" s="3">
        <f>C25*$B$6</f>
        <v/>
      </c>
      <c r="D34" s="3">
        <f>D25*$B$6</f>
        <v/>
      </c>
      <c r="E34" s="3">
        <f>E25*$B$6</f>
        <v/>
      </c>
    </row>
    <row r="35">
      <c r="A35" t="inlineStr">
        <is>
          <t>3. Ingreso Taquilla VIP (18%)</t>
        </is>
      </c>
      <c r="B35" s="3">
        <f>B26*$B$6</f>
        <v/>
      </c>
      <c r="C35" s="3">
        <f>C26*$B$6</f>
        <v/>
      </c>
      <c r="D35" s="3">
        <f>D26*$B$6</f>
        <v/>
      </c>
      <c r="E35" s="3">
        <f>E26*$B$6</f>
        <v/>
      </c>
    </row>
    <row r="36">
      <c r="A36" t="inlineStr">
        <is>
          <t>4. Ingreso Barras (90% del 70% Utilidad)</t>
        </is>
      </c>
      <c r="B36" s="3">
        <f>B27*$B$10*$B$11</f>
        <v/>
      </c>
      <c r="C36" s="3">
        <f>C27*$B$10*$B$11</f>
        <v/>
      </c>
      <c r="D36" s="3">
        <f>D27*$B$10*$B$11</f>
        <v/>
      </c>
      <c r="E36" s="3">
        <f>E27*$B$10*$B$11</f>
        <v/>
      </c>
    </row>
    <row r="38">
      <c r="A38" s="2" t="inlineStr">
        <is>
          <t>UTILIDAD NETA TOTAL SONAR (MXN)</t>
        </is>
      </c>
      <c r="B38" s="9">
        <f>B32+B34+B35+B36</f>
        <v/>
      </c>
      <c r="C38" s="9">
        <f>C32+C34+C35+C36</f>
        <v/>
      </c>
      <c r="D38" s="9">
        <f>D32+D34+D35+D36</f>
        <v/>
      </c>
      <c r="E38" s="9">
        <f>E32+E34+E35+E36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</cols>
  <sheetData>
    <row r="1">
      <c r="A1" s="10" t="inlineStr">
        <is>
          <t>CONCEPTO</t>
        </is>
      </c>
      <c r="B1" s="10" t="inlineStr">
        <is>
          <t>ESTRUCTURA DEL DEAL</t>
        </is>
      </c>
      <c r="C1" s="10" t="inlineStr">
        <is>
          <t>LÓGICA MATEMÁTICA (Fórmula)</t>
        </is>
      </c>
    </row>
    <row r="2">
      <c r="A2" t="inlineStr">
        <is>
          <t>Renta Fija (Bruta)</t>
        </is>
      </c>
      <c r="B2" t="inlineStr">
        <is>
          <t>$350,000 cobrados al promotor</t>
        </is>
      </c>
      <c r="C2">
        <f>350000</f>
        <v/>
      </c>
    </row>
    <row r="3">
      <c r="A3" t="inlineStr">
        <is>
          <t>Gastos Venue (Rider, Seg, Limp)</t>
        </is>
      </c>
      <c r="B3" t="inlineStr">
        <is>
          <t>~$200,000 costeados por Sonar (Rider de ~80k)</t>
        </is>
      </c>
      <c r="C3">
        <f>-200000</f>
        <v/>
      </c>
    </row>
    <row r="4">
      <c r="A4" t="inlineStr">
        <is>
          <t>Utilidad Renta Fija</t>
        </is>
      </c>
      <c r="B4" t="inlineStr">
        <is>
          <t>$150,000 limpios garantizados</t>
        </is>
      </c>
      <c r="C4">
        <f>350000-200000</f>
        <v/>
      </c>
    </row>
    <row r="5">
      <c r="A5" t="inlineStr">
        <is>
          <t>Taquilla (General &amp; VIP)</t>
        </is>
      </c>
      <c r="B5" t="inlineStr">
        <is>
          <t>18% de la Venta Bruta</t>
        </is>
      </c>
      <c r="C5">
        <f>(PAX * Ticket Promedio) * 0.18</f>
        <v/>
      </c>
    </row>
    <row r="6">
      <c r="A6" t="inlineStr">
        <is>
          <t>Barras (A&amp;B)</t>
        </is>
      </c>
      <c r="B6" t="inlineStr">
        <is>
          <t>90% de la Utilidad Neta (calculada con 30% de costo operativo)</t>
        </is>
      </c>
      <c r="C6">
        <f>(PAX Total * Consumo Promedio) * 0.70 * 0.90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2026-05-07T21:19:41Z</dcterms:created>
  <dcterms:modified xsi:type="dcterms:W3CDTF">2026-05-07T21:19:41Z</dcterms:modified>
</cp:coreProperties>
</file>